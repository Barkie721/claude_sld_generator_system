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My Drive\.File Cabinet\Education\Software Engineering\6. AI &amp; Machine Learning Fundamentals\single-line_generator_system\07_data\excel\"/>
    </mc:Choice>
  </mc:AlternateContent>
  <xr:revisionPtr revIDLastSave="0" documentId="13_ncr:1_{9CEC0D69-3622-47C9-A258-8B17761E5CE7}" xr6:coauthVersionLast="47" xr6:coauthVersionMax="47" xr10:uidLastSave="{00000000-0000-0000-0000-000000000000}"/>
  <bookViews>
    <workbookView xWindow="15465" yWindow="16080" windowWidth="29040" windowHeight="15720" tabRatio="500" activeTab="2" xr2:uid="{00000000-000D-0000-FFFF-FFFF00000000}"/>
  </bookViews>
  <sheets>
    <sheet name="Instructions" sheetId="1" r:id="rId1"/>
    <sheet name="Fault Current Calc" sheetId="2" r:id="rId2"/>
    <sheet name="&quot;C&quot; Conductors Values" sheetId="3" r:id="rId3"/>
  </sheets>
  <definedNames>
    <definedName name="Buss_Size">'"C" Conductors Values'!$K$17:$K$28</definedName>
    <definedName name="Buss_Type">'"C" Conductors Values'!$K$32:$K$36</definedName>
    <definedName name="C_Table">'"C" Conductors Values'!$A$17:$J$38</definedName>
    <definedName name="Cable_Type">'"C" Conductors Values'!$B$15:$E$15</definedName>
    <definedName name="Conductor_Compound">'"C" Conductors Values'!$B$14:$I$14</definedName>
    <definedName name="Conductor_Type">'"C" Conductors Values'!$B$15:$E$15</definedName>
    <definedName name="Conduit">'"C" Conductors Values'!$B$16:$C$16</definedName>
    <definedName name="Wire_Size">'"C" Conductors Values'!$A$17:$A$37</definedName>
  </definedName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F15" i="2" l="1"/>
  <c r="E15" i="2" s="1"/>
  <c r="A15" i="2"/>
  <c r="F14" i="2"/>
  <c r="E14" i="2" s="1"/>
  <c r="A14" i="2"/>
  <c r="F13" i="2"/>
  <c r="E13" i="2" s="1"/>
  <c r="D13" i="2"/>
  <c r="G13" i="2" l="1"/>
  <c r="H13" i="2" s="1"/>
  <c r="I13" i="2" s="1"/>
  <c r="R13" i="2" l="1"/>
  <c r="D14" i="2"/>
  <c r="G14" i="2" l="1"/>
  <c r="H14" i="2" s="1"/>
  <c r="I14" i="2" s="1"/>
  <c r="D15" i="2" l="1"/>
  <c r="R14" i="2"/>
  <c r="G15" i="2" l="1"/>
  <c r="H15" i="2" s="1"/>
  <c r="I15" i="2" s="1"/>
  <c r="R15" i="2" s="1"/>
</calcChain>
</file>

<file path=xl/sharedStrings.xml><?xml version="1.0" encoding="utf-8"?>
<sst xmlns="http://schemas.openxmlformats.org/spreadsheetml/2006/main" count="175" uniqueCount="111">
  <si>
    <t>PROJECT:</t>
  </si>
  <si>
    <t>xxx</t>
  </si>
  <si>
    <t>PROJECT NO.:</t>
  </si>
  <si>
    <t>CREATED BY:</t>
  </si>
  <si>
    <t>CREATED DATE:</t>
  </si>
  <si>
    <t>CHECKED BY:</t>
  </si>
  <si>
    <t>REVISED DATE:</t>
  </si>
  <si>
    <t>Point-To-Point Fault Current Calculation</t>
  </si>
  <si>
    <t>Description:</t>
  </si>
  <si>
    <t>This spreadsheet calculates SCCR (Short Circuit Current Rating) or the available fault current at the switchboard, panelboard, or equipment.
This calculation is typically intended for generating preliminary approximate values, for calculating panel AIC ratings during early project phases.  This calculation is not for final equipment specification purposes.  EasyPower should be utilized for final full-project calculations.  If required by the project specifications, the Electrical Contractor is also to provide short circuit calculations during CA.</t>
  </si>
  <si>
    <t>Instructions:</t>
  </si>
  <si>
    <t>1. Enter the project info at the top of this Instructions tab, and the Fault Current Calc tab.</t>
  </si>
  <si>
    <t>2. Input the available fault current.  This may be via your own calculations, or an available fault current</t>
  </si>
  <si>
    <t xml:space="preserve">   that is already known or confirmed by the utility.</t>
  </si>
  <si>
    <t xml:space="preserve">3. Replace the content that is in orange text. </t>
  </si>
  <si>
    <t>4. Make sure that the "I(sc)" cells are linked correctly to the available fault current or to the</t>
  </si>
  <si>
    <t xml:space="preserve">   "I(sc-sym rms)" column that panel or equipment is fed from. </t>
  </si>
  <si>
    <t>5. To add more rows, copy &amp; paste existing row information.  DO NOT CREATE A NEW ROW;</t>
  </si>
  <si>
    <t xml:space="preserve">   formulas will not be copied over.</t>
  </si>
  <si>
    <t xml:space="preserve">6. Double check that the referenced cells are linking/referencing correctly. </t>
  </si>
  <si>
    <t>7. The calculation tab allows (1) voltage only.  If (2) voltages are needed (for example, for the primary</t>
  </si>
  <si>
    <t xml:space="preserve">   and secondary sides of a transformer), make a copy of the "Fault Current Calc" tab, and select the 2nd</t>
  </si>
  <si>
    <t xml:space="preserve">   voltage in this new tab.</t>
  </si>
  <si>
    <t>8. The available short circuit current at the secondary side of transformers can be conservatively</t>
  </si>
  <si>
    <t xml:space="preserve">   estimated using the infinite bus calculation:</t>
  </si>
  <si>
    <t xml:space="preserve">   Available short circuit current at transformer secondary = (Transformer FLA at</t>
  </si>
  <si>
    <t xml:space="preserve">        secondary) / (Transformer impedance)</t>
  </si>
  <si>
    <t>Notes / Assumptions:</t>
  </si>
  <si>
    <t>1.</t>
  </si>
  <si>
    <t>User input cells (color 8)</t>
  </si>
  <si>
    <t>2.</t>
  </si>
  <si>
    <t>Default design criteria (color 5)</t>
  </si>
  <si>
    <t>3.</t>
  </si>
  <si>
    <t>Referenced values (color 6)</t>
  </si>
  <si>
    <t>4.</t>
  </si>
  <si>
    <t>Calculated values (black)</t>
  </si>
  <si>
    <t>5.</t>
  </si>
  <si>
    <t>6.</t>
  </si>
  <si>
    <t>Point to Point 3-Phase Bolted Fault Current Calculation</t>
  </si>
  <si>
    <t>Panel &amp; Equipment Calculation Area</t>
  </si>
  <si>
    <t>Available Fault Current:</t>
  </si>
  <si>
    <t>Voltage:</t>
  </si>
  <si>
    <t>Safety Factor - 95%</t>
  </si>
  <si>
    <t>From</t>
  </si>
  <si>
    <t>To</t>
  </si>
  <si>
    <t>Length
(ft)</t>
  </si>
  <si>
    <t>I(sc)
(FROM)</t>
  </si>
  <si>
    <t>C value
(total)</t>
  </si>
  <si>
    <t>C value
PER FEEDER</t>
  </si>
  <si>
    <t>f (calc)</t>
  </si>
  <si>
    <t>M (calc)</t>
  </si>
  <si>
    <t>I(sc-sym rms)
(TO)</t>
  </si>
  <si>
    <t>Per Phase
(# Conductors)</t>
  </si>
  <si>
    <t>Conduit</t>
  </si>
  <si>
    <t>Type
(CU/AL)</t>
  </si>
  <si>
    <t>Cable
(Single/3C)</t>
  </si>
  <si>
    <t>Wire Size
(kcmil/AWG)</t>
  </si>
  <si>
    <t>Busway Type</t>
  </si>
  <si>
    <t>Busway Size</t>
  </si>
  <si>
    <t>Notes</t>
  </si>
  <si>
    <t>AIC
Rating</t>
  </si>
  <si>
    <t>"PANEL A (replace)"</t>
  </si>
  <si>
    <t>"PANEL B (replace)"</t>
  </si>
  <si>
    <t>Steel</t>
  </si>
  <si>
    <t>CU</t>
  </si>
  <si>
    <t>3C</t>
  </si>
  <si>
    <t>500</t>
  </si>
  <si>
    <t>"PANEL C (replace)"</t>
  </si>
  <si>
    <t>AL</t>
  </si>
  <si>
    <t>750</t>
  </si>
  <si>
    <t>"AHU-1 (replace)"</t>
  </si>
  <si>
    <t>Note:</t>
  </si>
  <si>
    <t>1. Minimum cable length required to stay with 10000AIC panel rating.</t>
  </si>
  <si>
    <t>THIS TAB IS A LOOKUP TABLE.</t>
  </si>
  <si>
    <t>DO NOT EDIT THE CONTENT OF THIS TAB.</t>
  </si>
  <si>
    <t>"C" Values for Conductors (BASED ON IEEE STD 241-1990, IEEE Std 242-1986)</t>
  </si>
  <si>
    <t>Busway</t>
  </si>
  <si>
    <t>Cable</t>
  </si>
  <si>
    <t>Single</t>
  </si>
  <si>
    <t>Ampacity</t>
  </si>
  <si>
    <t>Plug-In</t>
  </si>
  <si>
    <t>Feeder</t>
  </si>
  <si>
    <t>High Impedance</t>
  </si>
  <si>
    <t>PVC</t>
  </si>
  <si>
    <t>Copper</t>
  </si>
  <si>
    <t>Aluminum</t>
  </si>
  <si>
    <t>14</t>
  </si>
  <si>
    <t>-</t>
  </si>
  <si>
    <t>12</t>
  </si>
  <si>
    <t>10</t>
  </si>
  <si>
    <t>8</t>
  </si>
  <si>
    <t>6</t>
  </si>
  <si>
    <t>4</t>
  </si>
  <si>
    <t>3</t>
  </si>
  <si>
    <t>2</t>
  </si>
  <si>
    <t>1/0</t>
  </si>
  <si>
    <t>2/0</t>
  </si>
  <si>
    <t>3/0</t>
  </si>
  <si>
    <t>4/0</t>
  </si>
  <si>
    <t>250</t>
  </si>
  <si>
    <t>300</t>
  </si>
  <si>
    <t>350</t>
  </si>
  <si>
    <t>Plug-In CU</t>
  </si>
  <si>
    <t>400</t>
  </si>
  <si>
    <t>Copper_Normal</t>
  </si>
  <si>
    <t>Aluminum_Normal</t>
  </si>
  <si>
    <t>600</t>
  </si>
  <si>
    <t>Copper_HighZ</t>
  </si>
  <si>
    <t>Aluminum_HighZ</t>
  </si>
  <si>
    <t>1000</t>
  </si>
  <si>
    <t>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</si>
</sst>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000"/>
  </numFmts>
  <fonts count="15" x14ac:knownFonts="1">
    <font>
      <sz val="11"/>
      <color theme="1"/>
      <name val="Calibri"/>
      <family val="2"/>
      <charset val="1"/>
    </font>
    <font>
      <b/>
      <sz val="10"/>
      <color rgb="FF808080"/>
      <name val="Arial"/>
      <charset val="1"/>
    </font>
    <font>
      <sz val="10"/>
      <color rgb="FF000000"/>
      <name val="Arial"/>
      <charset val="1"/>
    </font>
    <font>
      <sz val="14"/>
      <color rgb="FF000000"/>
      <name val="Arial"/>
      <charset val="1"/>
    </font>
    <font>
      <b/>
      <sz val="10"/>
      <color rgb="FF000000"/>
      <name val="Arial"/>
      <charset val="1"/>
    </font>
    <font>
      <sz val="10"/>
      <color rgb="FFF27122"/>
      <name val="Arial"/>
      <charset val="1"/>
    </font>
    <font>
      <sz val="10"/>
      <color rgb="FF31859F"/>
      <name val="Arial"/>
      <charset val="1"/>
    </font>
    <font>
      <sz val="10"/>
      <color rgb="FF838E95"/>
      <name val="Arial"/>
      <charset val="1"/>
    </font>
    <font>
      <sz val="13"/>
      <color rgb="FF000000"/>
      <name val="Arial"/>
      <charset val="1"/>
    </font>
    <font>
      <b/>
      <sz val="9"/>
      <color rgb="FFFFFFFF"/>
      <name val="Arial"/>
      <charset val="1"/>
    </font>
    <font>
      <b/>
      <sz val="12"/>
      <color rgb="FFFF0000"/>
      <name val="Arial"/>
      <charset val="1"/>
    </font>
    <font>
      <b/>
      <sz val="11"/>
      <color rgb="FF000000"/>
      <name val="Arial"/>
      <charset val="1"/>
    </font>
    <font>
      <b/>
      <sz val="10"/>
      <color rgb="FF203864"/>
      <name val="Arial"/>
      <charset val="1"/>
    </font>
    <font>
      <b/>
      <sz val="9"/>
      <color rgb="FF000000"/>
      <name val="Arial"/>
      <charset val="1"/>
    </font>
    <font>
      <sz val="9"/>
      <color rgb="FF000000"/>
      <name val="Arial"/>
      <charset val="1"/>
    </font>
  </fonts>
  <fills count="8">
    <fill>
      <patternFill patternType="none"/>
    </fill>
    <fill>
      <patternFill patternType="gray125"/>
    </fill>
    <fill>
      <patternFill patternType="solid">
        <fgColor rgb="FF203864"/>
        <bgColor rgb="FF333333"/>
      </patternFill>
    </fill>
    <fill>
      <patternFill patternType="solid">
        <fgColor rgb="FFFFF2CC"/>
        <bgColor rgb="FFF2F2F2"/>
      </patternFill>
    </fill>
    <fill>
      <patternFill patternType="solid">
        <fgColor rgb="FFD9E1F2"/>
        <bgColor rgb="FFE2EFDA"/>
      </patternFill>
    </fill>
    <fill>
      <patternFill patternType="solid">
        <fgColor rgb="FFE2EFDA"/>
        <bgColor rgb="FFF2F2F2"/>
      </patternFill>
    </fill>
    <fill>
      <patternFill patternType="solid">
        <fgColor rgb="FFBDD7EE"/>
        <bgColor rgb="FFD9E1F2"/>
      </patternFill>
    </fill>
    <fill>
      <patternFill patternType="solid">
        <fgColor rgb="FFF2F2F2"/>
        <bgColor rgb="FFE2EFDA"/>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5">
    <xf numFmtId="0" fontId="0" fillId="0" borderId="0" xfId="0"/>
    <xf numFmtId="0" fontId="0" fillId="0" borderId="0" xfId="0"/>
    <xf numFmtId="0" fontId="4" fillId="5" borderId="0" xfId="0" applyFont="1" applyFill="1" applyAlignment="1">
      <alignment horizontal="center" vertical="center"/>
    </xf>
    <xf numFmtId="0" fontId="12" fillId="4" borderId="0" xfId="0" applyFont="1" applyFill="1" applyAlignment="1">
      <alignment horizontal="center" vertical="center"/>
    </xf>
    <xf numFmtId="0" fontId="11" fillId="0" borderId="0" xfId="0" applyFont="1" applyAlignment="1">
      <alignment horizontal="left" vertical="center"/>
    </xf>
    <xf numFmtId="0" fontId="10" fillId="3" borderId="0" xfId="0" applyFont="1" applyFill="1" applyAlignment="1">
      <alignment horizontal="center" vertical="center"/>
    </xf>
    <xf numFmtId="0" fontId="4" fillId="0" borderId="0" xfId="0" applyFont="1" applyAlignment="1">
      <alignment horizontal="left" vertical="center"/>
    </xf>
    <xf numFmtId="0" fontId="8" fillId="0" borderId="0" xfId="0" applyFont="1" applyAlignment="1">
      <alignment horizontal="left" vertical="center"/>
    </xf>
    <xf numFmtId="0" fontId="2" fillId="0" borderId="0" xfId="0" applyFont="1" applyAlignment="1">
      <alignment horizontal="left" vertical="center"/>
    </xf>
    <xf numFmtId="0" fontId="2" fillId="0" borderId="0" xfId="0" applyFont="1" applyAlignment="1">
      <alignment horizontal="left" vertical="center" wrapText="1"/>
    </xf>
    <xf numFmtId="0" fontId="1" fillId="0" borderId="0" xfId="0" applyFont="1"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xf>
    <xf numFmtId="0" fontId="4" fillId="0" borderId="0" xfId="0" applyFont="1" applyAlignment="1">
      <alignment horizontal="left" vertical="center"/>
    </xf>
    <xf numFmtId="0" fontId="5" fillId="0" borderId="0" xfId="0" applyFont="1" applyAlignment="1">
      <alignment horizontal="left" vertical="center"/>
    </xf>
    <xf numFmtId="0" fontId="6" fillId="0" borderId="0" xfId="0" applyFont="1" applyAlignment="1">
      <alignment horizontal="left" vertical="center"/>
    </xf>
    <xf numFmtId="0" fontId="7" fillId="0" borderId="0" xfId="0" applyFont="1" applyAlignment="1">
      <alignment horizontal="left" vertical="center"/>
    </xf>
    <xf numFmtId="3" fontId="5" fillId="0" borderId="0" xfId="0" applyNumberFormat="1" applyFont="1" applyAlignment="1">
      <alignment horizontal="left" vertical="center"/>
    </xf>
    <xf numFmtId="0" fontId="9" fillId="2" borderId="1" xfId="0" applyFont="1" applyFill="1" applyBorder="1" applyAlignment="1">
      <alignment horizontal="center" vertical="center" wrapText="1"/>
    </xf>
    <xf numFmtId="164" fontId="7" fillId="0" borderId="0" xfId="0" applyNumberFormat="1" applyFont="1"/>
    <xf numFmtId="3" fontId="2" fillId="0" borderId="0" xfId="0" applyNumberFormat="1" applyFont="1"/>
    <xf numFmtId="3" fontId="6" fillId="0" borderId="0" xfId="0" applyNumberFormat="1" applyFont="1"/>
    <xf numFmtId="165" fontId="2" fillId="0" borderId="0" xfId="0" applyNumberFormat="1" applyFont="1"/>
    <xf numFmtId="164" fontId="2" fillId="0" borderId="0" xfId="0" applyNumberFormat="1" applyFont="1"/>
    <xf numFmtId="49" fontId="5" fillId="0" borderId="0" xfId="0" applyNumberFormat="1" applyFont="1" applyAlignment="1">
      <alignment horizontal="left" vertical="center"/>
    </xf>
    <xf numFmtId="0" fontId="2" fillId="5" borderId="0" xfId="0" applyFont="1" applyFill="1" applyAlignment="1">
      <alignment horizontal="center" vertical="center"/>
    </xf>
    <xf numFmtId="0" fontId="13" fillId="6" borderId="0" xfId="0" applyFont="1" applyFill="1" applyAlignment="1">
      <alignment horizontal="center" vertical="center"/>
    </xf>
    <xf numFmtId="49" fontId="14" fillId="7" borderId="0" xfId="0" applyNumberFormat="1" applyFont="1" applyFill="1" applyAlignment="1">
      <alignment horizontal="right" vertical="center"/>
    </xf>
    <xf numFmtId="3" fontId="14" fillId="7" borderId="0" xfId="0" applyNumberFormat="1" applyFont="1" applyFill="1" applyAlignment="1">
      <alignment horizontal="center" vertical="center"/>
    </xf>
    <xf numFmtId="49" fontId="14" fillId="7" borderId="0" xfId="0" applyNumberFormat="1" applyFont="1" applyFill="1" applyAlignment="1">
      <alignment horizontal="center" vertical="center"/>
    </xf>
    <xf numFmtId="49" fontId="14" fillId="0" borderId="0" xfId="0" applyNumberFormat="1" applyFont="1" applyAlignment="1">
      <alignment horizontal="right" vertical="center"/>
    </xf>
    <xf numFmtId="3" fontId="14" fillId="0" borderId="0" xfId="0" applyNumberFormat="1" applyFont="1" applyAlignment="1">
      <alignment horizontal="center" vertical="center"/>
    </xf>
    <xf numFmtId="49" fontId="14" fillId="0" borderId="0" xfId="0" applyNumberFormat="1" applyFont="1" applyAlignment="1">
      <alignment horizontal="center" vertical="center"/>
    </xf>
    <xf numFmtId="0" fontId="13" fillId="0" borderId="0" xfId="0" applyFont="1" applyAlignment="1">
      <alignment horizontal="left" vertical="center"/>
    </xf>
    <xf numFmtId="0" fontId="14" fillId="0" borderId="0" xfId="0" applyFont="1" applyAlignment="1">
      <alignment horizontal="lef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F2F2F2"/>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D9E1F2"/>
      <rgbColor rgb="FFE2EFDA"/>
      <rgbColor rgb="FFFFFF99"/>
      <rgbColor rgb="FF99CCFF"/>
      <rgbColor rgb="FFFF99CC"/>
      <rgbColor rgb="FFCC99FF"/>
      <rgbColor rgb="FFFFCC99"/>
      <rgbColor rgb="FF3366FF"/>
      <rgbColor rgb="FF33CCCC"/>
      <rgbColor rgb="FF99CC00"/>
      <rgbColor rgb="FFFFCC00"/>
      <rgbColor rgb="FFFF9900"/>
      <rgbColor rgb="FFF27122"/>
      <rgbColor rgb="FF666699"/>
      <rgbColor rgb="FF838E95"/>
      <rgbColor rgb="FF203864"/>
      <rgbColor rgb="FF31859F"/>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6"/>
  <sheetViews>
    <sheetView zoomScaleNormal="100" workbookViewId="0"/>
  </sheetViews>
  <sheetFormatPr defaultColWidth="8.7109375" defaultRowHeight="15" x14ac:dyDescent="0.25"/>
  <cols>
    <col min="1" max="1" width="9.140625" customWidth="1"/>
    <col min="2" max="2" width="22" customWidth="1"/>
    <col min="3" max="3" width="50" customWidth="1"/>
  </cols>
  <sheetData>
    <row r="1" spans="1:11" ht="15" customHeight="1" x14ac:dyDescent="0.25">
      <c r="B1" s="10" t="s">
        <v>0</v>
      </c>
      <c r="C1" s="11" t="s">
        <v>1</v>
      </c>
      <c r="F1" s="10" t="s">
        <v>2</v>
      </c>
      <c r="G1" s="11" t="s">
        <v>1</v>
      </c>
    </row>
    <row r="2" spans="1:11" ht="15" customHeight="1" x14ac:dyDescent="0.25">
      <c r="B2" s="10" t="s">
        <v>3</v>
      </c>
      <c r="C2" s="11" t="s">
        <v>1</v>
      </c>
      <c r="F2" s="10" t="s">
        <v>4</v>
      </c>
      <c r="G2" s="11" t="s">
        <v>1</v>
      </c>
    </row>
    <row r="3" spans="1:11" ht="15" customHeight="1" x14ac:dyDescent="0.25">
      <c r="B3" s="10" t="s">
        <v>5</v>
      </c>
      <c r="C3" s="11" t="s">
        <v>1</v>
      </c>
      <c r="F3" s="10" t="s">
        <v>6</v>
      </c>
      <c r="G3" s="11" t="s">
        <v>1</v>
      </c>
    </row>
    <row r="5" spans="1:11" ht="17.25" customHeight="1" x14ac:dyDescent="0.25">
      <c r="A5" s="12" t="s">
        <v>7</v>
      </c>
    </row>
    <row r="7" spans="1:11" ht="60" customHeight="1" x14ac:dyDescent="0.25">
      <c r="A7" s="13" t="s">
        <v>8</v>
      </c>
      <c r="C7" s="9" t="s">
        <v>9</v>
      </c>
      <c r="D7" s="9"/>
      <c r="E7" s="9"/>
      <c r="F7" s="9"/>
      <c r="G7" s="9"/>
      <c r="H7" s="9"/>
      <c r="I7" s="9"/>
      <c r="J7" s="9"/>
      <c r="K7" s="9"/>
    </row>
    <row r="9" spans="1:11" ht="15" customHeight="1" x14ac:dyDescent="0.25">
      <c r="A9" s="13" t="s">
        <v>10</v>
      </c>
      <c r="C9" s="8" t="s">
        <v>11</v>
      </c>
      <c r="D9" s="8"/>
      <c r="E9" s="8"/>
      <c r="F9" s="8"/>
      <c r="G9" s="8"/>
      <c r="H9" s="8"/>
      <c r="I9" s="8"/>
      <c r="J9" s="8"/>
      <c r="K9" s="8"/>
    </row>
    <row r="10" spans="1:11" ht="15" customHeight="1" x14ac:dyDescent="0.25">
      <c r="C10" s="8" t="s">
        <v>12</v>
      </c>
      <c r="D10" s="8"/>
      <c r="E10" s="8"/>
      <c r="F10" s="8"/>
      <c r="G10" s="8"/>
      <c r="H10" s="8"/>
      <c r="I10" s="8"/>
      <c r="J10" s="8"/>
      <c r="K10" s="8"/>
    </row>
    <row r="11" spans="1:11" ht="15" customHeight="1" x14ac:dyDescent="0.25">
      <c r="C11" s="8" t="s">
        <v>13</v>
      </c>
      <c r="D11" s="8"/>
      <c r="E11" s="8"/>
      <c r="F11" s="8"/>
      <c r="G11" s="8"/>
      <c r="H11" s="8"/>
      <c r="I11" s="8"/>
      <c r="J11" s="8"/>
      <c r="K11" s="8"/>
    </row>
    <row r="12" spans="1:11" ht="15" customHeight="1" x14ac:dyDescent="0.25">
      <c r="C12" s="8" t="s">
        <v>14</v>
      </c>
      <c r="D12" s="8"/>
      <c r="E12" s="8"/>
      <c r="F12" s="8"/>
      <c r="G12" s="8"/>
      <c r="H12" s="8"/>
      <c r="I12" s="8"/>
      <c r="J12" s="8"/>
      <c r="K12" s="8"/>
    </row>
    <row r="13" spans="1:11" ht="15" customHeight="1" x14ac:dyDescent="0.25">
      <c r="C13" s="8" t="s">
        <v>15</v>
      </c>
      <c r="D13" s="8"/>
      <c r="E13" s="8"/>
      <c r="F13" s="8"/>
      <c r="G13" s="8"/>
      <c r="H13" s="8"/>
      <c r="I13" s="8"/>
      <c r="J13" s="8"/>
      <c r="K13" s="8"/>
    </row>
    <row r="14" spans="1:11" ht="15" customHeight="1" x14ac:dyDescent="0.25">
      <c r="C14" s="8" t="s">
        <v>16</v>
      </c>
      <c r="D14" s="8"/>
      <c r="E14" s="8"/>
      <c r="F14" s="8"/>
      <c r="G14" s="8"/>
      <c r="H14" s="8"/>
      <c r="I14" s="8"/>
      <c r="J14" s="8"/>
      <c r="K14" s="8"/>
    </row>
    <row r="15" spans="1:11" ht="15" customHeight="1" x14ac:dyDescent="0.25">
      <c r="C15" s="8" t="s">
        <v>17</v>
      </c>
      <c r="D15" s="8"/>
      <c r="E15" s="8"/>
      <c r="F15" s="8"/>
      <c r="G15" s="8"/>
      <c r="H15" s="8"/>
      <c r="I15" s="8"/>
      <c r="J15" s="8"/>
      <c r="K15" s="8"/>
    </row>
    <row r="16" spans="1:11" ht="15" customHeight="1" x14ac:dyDescent="0.25">
      <c r="C16" s="8" t="s">
        <v>18</v>
      </c>
      <c r="D16" s="8"/>
      <c r="E16" s="8"/>
      <c r="F16" s="8"/>
      <c r="G16" s="8"/>
      <c r="H16" s="8"/>
      <c r="I16" s="8"/>
      <c r="J16" s="8"/>
      <c r="K16" s="8"/>
    </row>
    <row r="17" spans="1:11" ht="15" customHeight="1" x14ac:dyDescent="0.25">
      <c r="C17" s="8" t="s">
        <v>19</v>
      </c>
      <c r="D17" s="8"/>
      <c r="E17" s="8"/>
      <c r="F17" s="8"/>
      <c r="G17" s="8"/>
      <c r="H17" s="8"/>
      <c r="I17" s="8"/>
      <c r="J17" s="8"/>
      <c r="K17" s="8"/>
    </row>
    <row r="18" spans="1:11" ht="15" customHeight="1" x14ac:dyDescent="0.25">
      <c r="C18" s="8" t="s">
        <v>20</v>
      </c>
      <c r="D18" s="8"/>
      <c r="E18" s="8"/>
      <c r="F18" s="8"/>
      <c r="G18" s="8"/>
      <c r="H18" s="8"/>
      <c r="I18" s="8"/>
      <c r="J18" s="8"/>
      <c r="K18" s="8"/>
    </row>
    <row r="19" spans="1:11" ht="15" customHeight="1" x14ac:dyDescent="0.25">
      <c r="C19" s="8" t="s">
        <v>21</v>
      </c>
      <c r="D19" s="8"/>
      <c r="E19" s="8"/>
      <c r="F19" s="8"/>
      <c r="G19" s="8"/>
      <c r="H19" s="8"/>
      <c r="I19" s="8"/>
      <c r="J19" s="8"/>
      <c r="K19" s="8"/>
    </row>
    <row r="20" spans="1:11" ht="15" customHeight="1" x14ac:dyDescent="0.25">
      <c r="C20" s="8" t="s">
        <v>22</v>
      </c>
      <c r="D20" s="8"/>
      <c r="E20" s="8"/>
      <c r="F20" s="8"/>
      <c r="G20" s="8"/>
      <c r="H20" s="8"/>
      <c r="I20" s="8"/>
      <c r="J20" s="8"/>
      <c r="K20" s="8"/>
    </row>
    <row r="21" spans="1:11" ht="15" customHeight="1" x14ac:dyDescent="0.25">
      <c r="C21" s="8" t="s">
        <v>23</v>
      </c>
      <c r="D21" s="8"/>
      <c r="E21" s="8"/>
      <c r="F21" s="8"/>
      <c r="G21" s="8"/>
      <c r="H21" s="8"/>
      <c r="I21" s="8"/>
      <c r="J21" s="8"/>
      <c r="K21" s="8"/>
    </row>
    <row r="22" spans="1:11" ht="15" customHeight="1" x14ac:dyDescent="0.25">
      <c r="C22" s="8" t="s">
        <v>24</v>
      </c>
      <c r="D22" s="8"/>
      <c r="E22" s="8"/>
      <c r="F22" s="8"/>
      <c r="G22" s="8"/>
      <c r="H22" s="8"/>
      <c r="I22" s="8"/>
      <c r="J22" s="8"/>
      <c r="K22" s="8"/>
    </row>
    <row r="23" spans="1:11" ht="15" customHeight="1" x14ac:dyDescent="0.25">
      <c r="C23" s="8" t="s">
        <v>25</v>
      </c>
      <c r="D23" s="8"/>
      <c r="E23" s="8"/>
      <c r="F23" s="8"/>
      <c r="G23" s="8"/>
      <c r="H23" s="8"/>
      <c r="I23" s="8"/>
      <c r="J23" s="8"/>
      <c r="K23" s="8"/>
    </row>
    <row r="24" spans="1:11" ht="15" customHeight="1" x14ac:dyDescent="0.25">
      <c r="C24" s="8" t="s">
        <v>26</v>
      </c>
      <c r="D24" s="8"/>
      <c r="E24" s="8"/>
      <c r="F24" s="8"/>
      <c r="G24" s="8"/>
      <c r="H24" s="8"/>
      <c r="I24" s="8"/>
      <c r="J24" s="8"/>
      <c r="K24" s="8"/>
    </row>
    <row r="26" spans="1:11" ht="15" customHeight="1" x14ac:dyDescent="0.25">
      <c r="A26" s="13" t="s">
        <v>27</v>
      </c>
    </row>
    <row r="27" spans="1:11" ht="15" customHeight="1" x14ac:dyDescent="0.25">
      <c r="A27" s="11" t="s">
        <v>28</v>
      </c>
      <c r="B27" s="14" t="s">
        <v>29</v>
      </c>
    </row>
    <row r="28" spans="1:11" ht="15" customHeight="1" x14ac:dyDescent="0.25">
      <c r="A28" s="11" t="s">
        <v>30</v>
      </c>
      <c r="B28" s="15" t="s">
        <v>31</v>
      </c>
    </row>
    <row r="29" spans="1:11" ht="15" customHeight="1" x14ac:dyDescent="0.25">
      <c r="A29" s="11" t="s">
        <v>32</v>
      </c>
      <c r="B29" s="16" t="s">
        <v>33</v>
      </c>
    </row>
    <row r="30" spans="1:11" ht="15" customHeight="1" x14ac:dyDescent="0.25">
      <c r="A30" s="11" t="s">
        <v>34</v>
      </c>
      <c r="B30" s="11" t="s">
        <v>35</v>
      </c>
    </row>
    <row r="31" spans="1:11" ht="15" customHeight="1" x14ac:dyDescent="0.25">
      <c r="A31" s="11" t="s">
        <v>28</v>
      </c>
    </row>
    <row r="32" spans="1:11" ht="15" customHeight="1" x14ac:dyDescent="0.25">
      <c r="A32" s="11" t="s">
        <v>30</v>
      </c>
    </row>
    <row r="33" spans="1:1" ht="15" customHeight="1" x14ac:dyDescent="0.25">
      <c r="A33" s="11" t="s">
        <v>32</v>
      </c>
    </row>
    <row r="34" spans="1:1" ht="15" customHeight="1" x14ac:dyDescent="0.25">
      <c r="A34" s="11" t="s">
        <v>34</v>
      </c>
    </row>
    <row r="35" spans="1:1" ht="15" customHeight="1" x14ac:dyDescent="0.25">
      <c r="A35" s="11" t="s">
        <v>36</v>
      </c>
    </row>
    <row r="36" spans="1:1" ht="15" customHeight="1" x14ac:dyDescent="0.25">
      <c r="A36" s="11" t="s">
        <v>37</v>
      </c>
    </row>
  </sheetData>
  <mergeCells count="17">
    <mergeCell ref="C23:K23"/>
    <mergeCell ref="C24:K24"/>
    <mergeCell ref="C18:K18"/>
    <mergeCell ref="C19:K19"/>
    <mergeCell ref="C20:K20"/>
    <mergeCell ref="C21:K21"/>
    <mergeCell ref="C22:K22"/>
    <mergeCell ref="C13:K13"/>
    <mergeCell ref="C14:K14"/>
    <mergeCell ref="C15:K15"/>
    <mergeCell ref="C16:K16"/>
    <mergeCell ref="C17:K17"/>
    <mergeCell ref="C7:K7"/>
    <mergeCell ref="C9:K9"/>
    <mergeCell ref="C10:K10"/>
    <mergeCell ref="C11:K11"/>
    <mergeCell ref="C12:K1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20"/>
  <sheetViews>
    <sheetView zoomScaleNormal="100" workbookViewId="0"/>
  </sheetViews>
  <sheetFormatPr defaultColWidth="8.7109375" defaultRowHeight="15" x14ac:dyDescent="0.25"/>
  <cols>
    <col min="1" max="1" width="21.5703125" customWidth="1"/>
    <col min="2" max="2" width="18.140625" customWidth="1"/>
    <col min="3" max="3" width="10.7109375" customWidth="1"/>
    <col min="4" max="4" width="14" customWidth="1"/>
    <col min="5" max="8" width="10.7109375" customWidth="1"/>
    <col min="9" max="9" width="15.28515625" customWidth="1"/>
    <col min="10" max="10" width="13" customWidth="1"/>
    <col min="11" max="11" width="10.42578125" customWidth="1"/>
    <col min="12" max="12" width="8" customWidth="1"/>
    <col min="13" max="14" width="10.42578125" customWidth="1"/>
    <col min="15" max="16" width="12" customWidth="1"/>
    <col min="17" max="17" width="30.140625" customWidth="1"/>
    <col min="18" max="18" width="12.7109375" customWidth="1"/>
  </cols>
  <sheetData>
    <row r="1" spans="1:18" ht="15" customHeight="1" x14ac:dyDescent="0.25">
      <c r="A1" s="10" t="s">
        <v>0</v>
      </c>
      <c r="B1" s="11" t="s">
        <v>1</v>
      </c>
      <c r="D1" s="10" t="s">
        <v>2</v>
      </c>
      <c r="E1" s="11" t="s">
        <v>1</v>
      </c>
    </row>
    <row r="2" spans="1:18" ht="15" customHeight="1" x14ac:dyDescent="0.25">
      <c r="A2" s="10" t="s">
        <v>3</v>
      </c>
      <c r="B2" s="11" t="s">
        <v>1</v>
      </c>
      <c r="D2" s="10" t="s">
        <v>4</v>
      </c>
      <c r="E2" s="11" t="s">
        <v>1</v>
      </c>
    </row>
    <row r="3" spans="1:18" ht="15" customHeight="1" x14ac:dyDescent="0.25">
      <c r="A3" s="10" t="s">
        <v>5</v>
      </c>
      <c r="B3" s="11" t="s">
        <v>1</v>
      </c>
      <c r="D3" s="10" t="s">
        <v>6</v>
      </c>
      <c r="E3" s="11" t="s">
        <v>1</v>
      </c>
    </row>
    <row r="6" spans="1:18" ht="28.5" customHeight="1" x14ac:dyDescent="0.25">
      <c r="A6" s="7" t="s">
        <v>38</v>
      </c>
      <c r="B6" s="7"/>
      <c r="C6" s="7"/>
      <c r="D6" s="7"/>
      <c r="E6" s="7"/>
      <c r="F6" s="7"/>
      <c r="G6" s="7"/>
      <c r="H6" s="7"/>
      <c r="I6" s="7"/>
      <c r="J6" s="7"/>
      <c r="K6" s="7"/>
      <c r="L6" s="7"/>
      <c r="M6" s="7"/>
      <c r="N6" s="7"/>
      <c r="O6" s="7"/>
      <c r="P6" s="7"/>
      <c r="Q6" s="7"/>
      <c r="R6" s="7"/>
    </row>
    <row r="8" spans="1:18" ht="15" customHeight="1" x14ac:dyDescent="0.25">
      <c r="A8" s="6" t="s">
        <v>39</v>
      </c>
      <c r="B8" s="6"/>
      <c r="C8" s="6"/>
      <c r="D8" s="6"/>
      <c r="E8" s="6"/>
      <c r="F8" s="6"/>
      <c r="G8" s="6"/>
      <c r="H8" s="6"/>
      <c r="I8" s="6"/>
      <c r="J8" s="6"/>
      <c r="K8" s="6"/>
      <c r="L8" s="6"/>
      <c r="M8" s="6"/>
      <c r="N8" s="6"/>
      <c r="O8" s="6"/>
      <c r="P8" s="6"/>
      <c r="Q8" s="6"/>
      <c r="R8" s="6"/>
    </row>
    <row r="9" spans="1:18" ht="15" customHeight="1" x14ac:dyDescent="0.25">
      <c r="A9" s="11" t="s">
        <v>40</v>
      </c>
      <c r="B9" s="17">
        <v>101000</v>
      </c>
    </row>
    <row r="10" spans="1:18" ht="15" customHeight="1" x14ac:dyDescent="0.25">
      <c r="A10" s="11" t="s">
        <v>41</v>
      </c>
      <c r="B10" s="17">
        <v>480</v>
      </c>
    </row>
    <row r="11" spans="1:18" ht="14.25" customHeight="1" x14ac:dyDescent="0.25">
      <c r="A11" s="8" t="s">
        <v>42</v>
      </c>
      <c r="B11" s="8"/>
      <c r="C11" s="8"/>
      <c r="D11" s="8"/>
      <c r="E11" s="8"/>
      <c r="F11" s="8"/>
      <c r="G11" s="8"/>
      <c r="H11" s="8"/>
      <c r="I11" s="8"/>
      <c r="J11" s="8"/>
      <c r="K11" s="8"/>
      <c r="L11" s="8"/>
      <c r="M11" s="8"/>
      <c r="N11" s="8"/>
      <c r="O11" s="8"/>
      <c r="P11" s="8"/>
      <c r="Q11" s="8"/>
      <c r="R11" s="8"/>
    </row>
    <row r="12" spans="1:18" ht="26.25" customHeight="1" x14ac:dyDescent="0.25">
      <c r="A12" s="18" t="s">
        <v>43</v>
      </c>
      <c r="B12" s="18" t="s">
        <v>44</v>
      </c>
      <c r="C12" s="18" t="s">
        <v>45</v>
      </c>
      <c r="D12" s="18" t="s">
        <v>46</v>
      </c>
      <c r="E12" s="18" t="s">
        <v>47</v>
      </c>
      <c r="F12" s="18" t="s">
        <v>48</v>
      </c>
      <c r="G12" s="18" t="s">
        <v>49</v>
      </c>
      <c r="H12" s="18" t="s">
        <v>50</v>
      </c>
      <c r="I12" s="18" t="s">
        <v>51</v>
      </c>
      <c r="J12" s="18" t="s">
        <v>52</v>
      </c>
      <c r="K12" s="18" t="s">
        <v>53</v>
      </c>
      <c r="L12" s="18" t="s">
        <v>54</v>
      </c>
      <c r="M12" s="18" t="s">
        <v>55</v>
      </c>
      <c r="N12" s="18" t="s">
        <v>56</v>
      </c>
      <c r="O12" s="18" t="s">
        <v>57</v>
      </c>
      <c r="P12" s="18" t="s">
        <v>58</v>
      </c>
      <c r="Q12" s="18" t="s">
        <v>59</v>
      </c>
      <c r="R12" s="18" t="s">
        <v>60</v>
      </c>
    </row>
    <row r="13" spans="1:18" ht="15" customHeight="1" x14ac:dyDescent="0.25">
      <c r="A13" s="14" t="s">
        <v>61</v>
      </c>
      <c r="B13" s="14" t="s">
        <v>62</v>
      </c>
      <c r="C13" s="17">
        <v>20</v>
      </c>
      <c r="D13" s="19">
        <f>B9</f>
        <v>101000</v>
      </c>
      <c r="E13" s="20">
        <f>$J13*$F13</f>
        <v>296780</v>
      </c>
      <c r="F13" s="21">
        <f>IF(UPPER(L13)="CU", IF(UPPER($M13)="SINGLE", IF(UPPER($K13)="STEEL", VLOOKUP($N13, C_Table, 2, FALSE()), IF(UPPER($K13)="PVC", VLOOKUP($N13, C_Table, 3, FALSE()), NA())), IF(UPPER($M13)="3C", IF(UPPER($K13)="STEEL", VLOOKUP($N13, C_Table, 4, FALSE()), IF(UPPER($K13)="PVC", VLOOKUP($N13, C_Table, 5, FALSE()), NA())), NA())), IF(UPPER($L13)="AL", IF(UPPER($M13)="SINGLE", IF(UPPER($K13)="STEEL", VLOOKUP($N13, C_Table, 6, FALSE()), IF(UPPER($K13)="PVC", VLOOKUP($N13, C_Table, 7, FALSE()), NA())), IF(UPPER($M13)="3C", IF(UPPER($K13)="STEEL", VLOOKUP($N13, C_Table, 8, FALSE()), IF(UPPER($K13)="PVC", VLOOKUP($N13, C_Table, 9, FALSE()), NA())), NA())), NA()))</f>
        <v>26980</v>
      </c>
      <c r="G13" s="22">
        <f>C13*D13*1.732/(E13*B10)</f>
        <v>2.4559718759125729E-2</v>
      </c>
      <c r="H13" s="22">
        <f>1/(1+G13)</f>
        <v>0.97602900220509281</v>
      </c>
      <c r="I13" s="23">
        <f>D13*H13</f>
        <v>98578.929222714374</v>
      </c>
      <c r="J13" s="17">
        <v>11</v>
      </c>
      <c r="K13" s="14" t="s">
        <v>63</v>
      </c>
      <c r="L13" s="14" t="s">
        <v>64</v>
      </c>
      <c r="M13" s="14" t="s">
        <v>65</v>
      </c>
      <c r="N13" s="24" t="s">
        <v>66</v>
      </c>
      <c r="R13" s="20">
        <f>IF(I13&lt;10000*0.95, 10000, IF(I13&lt;22000*0.95, 22000, IF(I13&lt;42000*0.95, 42000, IF(I13&lt;65000*0.95, 65000, IF(I13&lt;100000*0.95, 100000, IF(I13&lt;150000*0.95, 150000, "OVER 150K"))))))</f>
        <v>150000</v>
      </c>
    </row>
    <row r="14" spans="1:18" ht="15" customHeight="1" x14ac:dyDescent="0.25">
      <c r="A14" s="14" t="str">
        <f>B13</f>
        <v>"PANEL B (replace)"</v>
      </c>
      <c r="B14" s="14" t="s">
        <v>67</v>
      </c>
      <c r="C14" s="17">
        <v>30</v>
      </c>
      <c r="D14" s="19">
        <f>I13</f>
        <v>98578.929222714374</v>
      </c>
      <c r="E14" s="20">
        <f>$J14*$F14</f>
        <v>52864</v>
      </c>
      <c r="F14" s="21">
        <f>IF(UPPER(L14)="CU", IF(UPPER($M14)="SINGLE", IF(UPPER($K14)="STEEL", VLOOKUP($N14, C_Table, 2, FALSE()), IF(UPPER($K14)="PVC", VLOOKUP($N14, C_Table, 3, FALSE()), NA())), IF(UPPER($M14)="3C", IF(UPPER($K14)="STEEL", VLOOKUP($N14, C_Table, 4, FALSE()), IF(UPPER($K14)="PVC", VLOOKUP($N14, C_Table, 5, FALSE()), NA())), NA())), IF(UPPER($L14)="AL", IF(UPPER($M14)="SINGLE", IF(UPPER($K14)="STEEL", VLOOKUP($N14, C_Table, 6, FALSE()), IF(UPPER($K14)="PVC", VLOOKUP($N14, C_Table, 7, FALSE()), NA())), IF(UPPER($M14)="3C", IF(UPPER($K14)="STEEL", VLOOKUP($N14, C_Table, 8, FALSE()), IF(UPPER($K14)="PVC", VLOOKUP($N14, C_Table, 9, FALSE()), NA())), NA())), NA()))</f>
        <v>26432</v>
      </c>
      <c r="G14" s="22">
        <f>C14*D14*1.732/(E14*B10)</f>
        <v>0.20186079540630356</v>
      </c>
      <c r="H14" s="22">
        <f>1/(1+G14)</f>
        <v>0.83204311499480921</v>
      </c>
      <c r="I14" s="23">
        <f>D14*H14</f>
        <v>82021.9193433201</v>
      </c>
      <c r="J14" s="17">
        <v>2</v>
      </c>
      <c r="K14" s="14" t="s">
        <v>63</v>
      </c>
      <c r="L14" s="14" t="s">
        <v>68</v>
      </c>
      <c r="M14" s="14" t="s">
        <v>65</v>
      </c>
      <c r="N14" s="24" t="s">
        <v>69</v>
      </c>
      <c r="R14" s="20">
        <f>IF(I14&lt;10000*0.95, 10000, IF(I14&lt;22000*0.95, 22000, IF(I14&lt;42000*0.95, 42000, IF(I14&lt;65000*0.95, 65000, IF(I14&lt;100000*0.95, 100000, IF(I14&lt;150000*0.95, 150000, "OVER 150K"))))))</f>
        <v>100000</v>
      </c>
    </row>
    <row r="15" spans="1:18" ht="15" customHeight="1" x14ac:dyDescent="0.25">
      <c r="A15" s="14" t="str">
        <f>B14</f>
        <v>"PANEL C (replace)"</v>
      </c>
      <c r="B15" s="14" t="s">
        <v>70</v>
      </c>
      <c r="C15" s="17">
        <v>30</v>
      </c>
      <c r="D15" s="19">
        <f>I14</f>
        <v>82021.9193433201</v>
      </c>
      <c r="E15" s="20">
        <f>$J15*$F15</f>
        <v>52864</v>
      </c>
      <c r="F15" s="21">
        <f>IF(UPPER(L15)="CU", IF(UPPER($M15)="SINGLE", IF(UPPER($K15)="STEEL", VLOOKUP($N15, C_Table, 2, FALSE()), IF(UPPER($K15)="PVC", VLOOKUP($N15, C_Table, 3, FALSE()), NA())), IF(UPPER($M15)="3C", IF(UPPER($K15)="STEEL", VLOOKUP($N15, C_Table, 4, FALSE()), IF(UPPER($K15)="PVC", VLOOKUP($N15, C_Table, 5, FALSE()), NA())), NA())), IF(UPPER($L15)="AL", IF(UPPER($M15)="SINGLE", IF(UPPER($K15)="STEEL", VLOOKUP($N15, C_Table, 6, FALSE()), IF(UPPER($K15)="PVC", VLOOKUP($N15, C_Table, 7, FALSE()), NA())), IF(UPPER($M15)="3C", IF(UPPER($K15)="STEEL", VLOOKUP($N15, C_Table, 8, FALSE()), IF(UPPER($K15)="PVC", VLOOKUP($N15, C_Table, 9, FALSE()), NA())), NA())), NA()))</f>
        <v>26432</v>
      </c>
      <c r="G15" s="22">
        <f>C15*D15*1.732/(E15*B10)</f>
        <v>0.16795688500519068</v>
      </c>
      <c r="H15" s="22">
        <f>1/(1+G15)</f>
        <v>0.85619598877192782</v>
      </c>
      <c r="I15" s="23">
        <f>D15*H15</f>
        <v>70226.83833312527</v>
      </c>
      <c r="J15" s="17">
        <v>2</v>
      </c>
      <c r="K15" s="14" t="s">
        <v>63</v>
      </c>
      <c r="L15" s="14" t="s">
        <v>68</v>
      </c>
      <c r="M15" s="14" t="s">
        <v>65</v>
      </c>
      <c r="N15" s="24" t="s">
        <v>69</v>
      </c>
      <c r="R15" s="20">
        <f>IF(I15&lt;10000*0.95, 10000, IF(I15&lt;22000*0.95, 22000, IF(I15&lt;42000*0.95, 42000, IF(I15&lt;65000*0.95, 65000, IF(I15&lt;100000*0.95, 100000, IF(I15&lt;150000*0.95, 150000, "OVER 150K"))))))</f>
        <v>100000</v>
      </c>
    </row>
    <row r="16" spans="1:18" ht="15" customHeight="1" x14ac:dyDescent="0.25">
      <c r="A16" s="14"/>
      <c r="B16" s="14"/>
      <c r="C16" s="17"/>
    </row>
    <row r="17" spans="1:3" ht="15" customHeight="1" x14ac:dyDescent="0.25">
      <c r="A17" s="14"/>
      <c r="B17" s="14"/>
      <c r="C17" s="17"/>
    </row>
    <row r="18" spans="1:3" ht="15" customHeight="1" x14ac:dyDescent="0.25">
      <c r="A18" s="14"/>
      <c r="B18" s="14"/>
      <c r="C18" s="17"/>
    </row>
    <row r="19" spans="1:3" ht="15" customHeight="1" x14ac:dyDescent="0.25">
      <c r="A19" s="13" t="s">
        <v>71</v>
      </c>
      <c r="B19" s="14"/>
      <c r="C19" s="17"/>
    </row>
    <row r="20" spans="1:3" ht="15" customHeight="1" x14ac:dyDescent="0.25">
      <c r="A20" s="13" t="s">
        <v>72</v>
      </c>
      <c r="B20" s="14"/>
      <c r="C20" s="17"/>
    </row>
  </sheetData>
  <mergeCells count="3">
    <mergeCell ref="A6:R6"/>
    <mergeCell ref="A8:R8"/>
    <mergeCell ref="A11:R1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37"/>
  <sheetViews>
    <sheetView tabSelected="1" topLeftCell="A21" zoomScaleNormal="100" workbookViewId="0">
      <selection activeCell="A26" sqref="A26"/>
    </sheetView>
  </sheetViews>
  <sheetFormatPr defaultColWidth="8.7109375" defaultRowHeight="15" x14ac:dyDescent="0.25"/>
  <cols>
    <col min="1" max="1" width="14.28515625" customWidth="1"/>
    <col min="2" max="2" width="10.7109375" customWidth="1"/>
    <col min="10" max="10" width="7.5703125" customWidth="1"/>
    <col min="11" max="11" width="10.7109375" customWidth="1"/>
  </cols>
  <sheetData>
    <row r="1" spans="1:16" ht="15" customHeight="1" x14ac:dyDescent="0.25">
      <c r="A1" s="10" t="s">
        <v>0</v>
      </c>
      <c r="B1" s="11" t="s">
        <v>1</v>
      </c>
      <c r="D1" s="10" t="s">
        <v>2</v>
      </c>
      <c r="E1" s="11" t="s">
        <v>1</v>
      </c>
    </row>
    <row r="2" spans="1:16" ht="15" customHeight="1" x14ac:dyDescent="0.25">
      <c r="A2" s="10" t="s">
        <v>3</v>
      </c>
      <c r="B2" s="11" t="s">
        <v>1</v>
      </c>
      <c r="D2" s="10" t="s">
        <v>4</v>
      </c>
      <c r="E2" s="11" t="s">
        <v>1</v>
      </c>
    </row>
    <row r="3" spans="1:16" ht="15" customHeight="1" x14ac:dyDescent="0.25">
      <c r="A3" s="10" t="s">
        <v>5</v>
      </c>
      <c r="B3" s="11" t="s">
        <v>1</v>
      </c>
      <c r="D3" s="10" t="s">
        <v>6</v>
      </c>
      <c r="E3" s="11" t="s">
        <v>1</v>
      </c>
    </row>
    <row r="6" spans="1:16" ht="15" customHeight="1" x14ac:dyDescent="0.25">
      <c r="A6" s="5" t="s">
        <v>73</v>
      </c>
      <c r="B6" s="5"/>
      <c r="C6" s="5"/>
      <c r="D6" s="5"/>
      <c r="E6" s="5"/>
      <c r="F6" s="5"/>
      <c r="G6" s="5"/>
      <c r="H6" s="5"/>
      <c r="I6" s="5"/>
      <c r="J6" s="5"/>
      <c r="K6" s="5"/>
      <c r="L6" s="5"/>
      <c r="M6" s="5"/>
      <c r="N6" s="5"/>
      <c r="O6" s="5"/>
      <c r="P6" s="5"/>
    </row>
    <row r="7" spans="1:16" ht="15" customHeight="1" x14ac:dyDescent="0.25">
      <c r="A7" s="5" t="s">
        <v>74</v>
      </c>
      <c r="B7" s="5"/>
      <c r="C7" s="5"/>
      <c r="D7" s="5"/>
      <c r="E7" s="5"/>
      <c r="F7" s="5"/>
      <c r="G7" s="5"/>
      <c r="H7" s="5"/>
      <c r="I7" s="5"/>
      <c r="J7" s="5"/>
      <c r="K7" s="5"/>
      <c r="L7" s="5"/>
      <c r="M7" s="5"/>
      <c r="N7" s="5"/>
      <c r="O7" s="5"/>
      <c r="P7" s="5"/>
    </row>
    <row r="10" spans="1:16" ht="15" customHeight="1" x14ac:dyDescent="0.25">
      <c r="A10" s="4" t="s">
        <v>75</v>
      </c>
      <c r="B10" s="4"/>
      <c r="C10" s="4"/>
      <c r="D10" s="4"/>
      <c r="E10" s="4"/>
      <c r="F10" s="4"/>
      <c r="G10" s="4"/>
      <c r="H10" s="4"/>
      <c r="I10" s="4"/>
      <c r="J10" s="4"/>
      <c r="K10" s="4"/>
      <c r="L10" s="4"/>
      <c r="M10" s="4"/>
      <c r="N10" s="4"/>
      <c r="O10" s="4"/>
      <c r="P10" s="4"/>
    </row>
    <row r="14" spans="1:16" ht="15" customHeight="1" x14ac:dyDescent="0.25">
      <c r="B14" s="3" t="s">
        <v>64</v>
      </c>
      <c r="C14" s="3"/>
      <c r="D14" s="3"/>
      <c r="E14" s="3"/>
      <c r="F14" s="3" t="s">
        <v>68</v>
      </c>
      <c r="G14" s="3"/>
      <c r="H14" s="3"/>
      <c r="I14" s="3"/>
      <c r="K14" s="3" t="s">
        <v>76</v>
      </c>
      <c r="L14" s="3"/>
      <c r="M14" s="3"/>
      <c r="N14" s="3"/>
      <c r="O14" s="3"/>
      <c r="P14" s="3"/>
    </row>
    <row r="15" spans="1:16" ht="15" customHeight="1" x14ac:dyDescent="0.25">
      <c r="A15" s="25" t="s">
        <v>77</v>
      </c>
      <c r="B15" s="2" t="s">
        <v>78</v>
      </c>
      <c r="C15" s="2"/>
      <c r="D15" s="2" t="s">
        <v>65</v>
      </c>
      <c r="E15" s="2"/>
      <c r="F15" s="2" t="s">
        <v>78</v>
      </c>
      <c r="G15" s="2"/>
      <c r="H15" s="2" t="s">
        <v>65</v>
      </c>
      <c r="I15" s="2"/>
      <c r="K15" s="25" t="s">
        <v>79</v>
      </c>
      <c r="L15" s="25" t="s">
        <v>80</v>
      </c>
      <c r="M15" s="2" t="s">
        <v>81</v>
      </c>
      <c r="N15" s="2"/>
      <c r="O15" s="2" t="s">
        <v>82</v>
      </c>
      <c r="P15" s="2"/>
    </row>
    <row r="16" spans="1:16" ht="15" customHeight="1" x14ac:dyDescent="0.25">
      <c r="A16" s="26" t="s">
        <v>53</v>
      </c>
      <c r="B16" s="26" t="s">
        <v>63</v>
      </c>
      <c r="C16" s="26" t="s">
        <v>83</v>
      </c>
      <c r="D16" s="26" t="s">
        <v>63</v>
      </c>
      <c r="E16" s="26" t="s">
        <v>83</v>
      </c>
      <c r="F16" s="26" t="s">
        <v>63</v>
      </c>
      <c r="G16" s="26" t="s">
        <v>83</v>
      </c>
      <c r="H16" s="26" t="s">
        <v>63</v>
      </c>
      <c r="I16" s="26" t="s">
        <v>83</v>
      </c>
      <c r="L16" s="26" t="s">
        <v>84</v>
      </c>
      <c r="M16" s="26" t="s">
        <v>85</v>
      </c>
      <c r="N16" s="26" t="s">
        <v>84</v>
      </c>
      <c r="O16" s="26" t="s">
        <v>85</v>
      </c>
      <c r="P16" s="26" t="s">
        <v>84</v>
      </c>
    </row>
    <row r="17" spans="1:16" ht="15" customHeight="1" x14ac:dyDescent="0.25">
      <c r="A17" s="27" t="s">
        <v>86</v>
      </c>
      <c r="B17" s="28">
        <v>389</v>
      </c>
      <c r="C17" s="28">
        <v>389</v>
      </c>
      <c r="D17" s="28">
        <v>389</v>
      </c>
      <c r="E17" s="28">
        <v>389</v>
      </c>
      <c r="F17" s="28">
        <v>237</v>
      </c>
      <c r="G17" s="28">
        <v>237</v>
      </c>
      <c r="H17" s="28">
        <v>237</v>
      </c>
      <c r="I17" s="28">
        <v>237</v>
      </c>
      <c r="K17" s="28">
        <v>225</v>
      </c>
      <c r="L17" s="28">
        <v>28700</v>
      </c>
      <c r="M17" s="28">
        <v>23000</v>
      </c>
      <c r="N17" s="28">
        <v>18700</v>
      </c>
      <c r="O17" s="28">
        <v>12000</v>
      </c>
      <c r="P17" s="29" t="s">
        <v>87</v>
      </c>
    </row>
    <row r="18" spans="1:16" ht="15" customHeight="1" x14ac:dyDescent="0.25">
      <c r="A18" s="30" t="s">
        <v>88</v>
      </c>
      <c r="B18" s="31">
        <v>617</v>
      </c>
      <c r="C18" s="31">
        <v>617</v>
      </c>
      <c r="D18" s="31">
        <v>617</v>
      </c>
      <c r="E18" s="31">
        <v>617</v>
      </c>
      <c r="F18" s="31">
        <v>376</v>
      </c>
      <c r="G18" s="31">
        <v>376</v>
      </c>
      <c r="H18" s="31">
        <v>376</v>
      </c>
      <c r="I18" s="31">
        <v>376</v>
      </c>
      <c r="K18" s="31">
        <v>400</v>
      </c>
      <c r="L18" s="31">
        <v>38900</v>
      </c>
      <c r="M18" s="31">
        <v>34700</v>
      </c>
      <c r="N18" s="31">
        <v>23900</v>
      </c>
      <c r="O18" s="31">
        <v>21300</v>
      </c>
      <c r="P18" s="32" t="s">
        <v>87</v>
      </c>
    </row>
    <row r="19" spans="1:16" ht="15" customHeight="1" x14ac:dyDescent="0.25">
      <c r="A19" s="27" t="s">
        <v>89</v>
      </c>
      <c r="B19" s="28">
        <v>981</v>
      </c>
      <c r="C19" s="28">
        <v>982</v>
      </c>
      <c r="D19" s="28">
        <v>982</v>
      </c>
      <c r="E19" s="28">
        <v>982</v>
      </c>
      <c r="F19" s="28">
        <v>599</v>
      </c>
      <c r="G19" s="28">
        <v>599</v>
      </c>
      <c r="H19" s="28">
        <v>599</v>
      </c>
      <c r="I19" s="28">
        <v>599</v>
      </c>
      <c r="K19" s="28">
        <v>600</v>
      </c>
      <c r="L19" s="28">
        <v>41000</v>
      </c>
      <c r="M19" s="28">
        <v>38300</v>
      </c>
      <c r="N19" s="28">
        <v>36500</v>
      </c>
      <c r="O19" s="28">
        <v>31300</v>
      </c>
      <c r="P19" s="29" t="s">
        <v>87</v>
      </c>
    </row>
    <row r="20" spans="1:16" ht="15" customHeight="1" x14ac:dyDescent="0.25">
      <c r="A20" s="30" t="s">
        <v>90</v>
      </c>
      <c r="B20" s="31">
        <v>1557</v>
      </c>
      <c r="C20" s="31">
        <v>1559</v>
      </c>
      <c r="D20" s="31">
        <v>1559</v>
      </c>
      <c r="E20" s="31">
        <v>1560</v>
      </c>
      <c r="F20" s="31">
        <v>951</v>
      </c>
      <c r="G20" s="31">
        <v>952</v>
      </c>
      <c r="H20" s="31">
        <v>952</v>
      </c>
      <c r="I20" s="31">
        <v>952</v>
      </c>
      <c r="K20" s="31">
        <v>800</v>
      </c>
      <c r="L20" s="31">
        <v>46100</v>
      </c>
      <c r="M20" s="31">
        <v>57500</v>
      </c>
      <c r="N20" s="31">
        <v>49300</v>
      </c>
      <c r="O20" s="31">
        <v>44100</v>
      </c>
      <c r="P20" s="32" t="s">
        <v>87</v>
      </c>
    </row>
    <row r="21" spans="1:16" ht="15" customHeight="1" x14ac:dyDescent="0.25">
      <c r="A21" s="27" t="s">
        <v>91</v>
      </c>
      <c r="B21" s="28">
        <v>2425</v>
      </c>
      <c r="C21" s="28">
        <v>2430</v>
      </c>
      <c r="D21" s="28">
        <v>2431</v>
      </c>
      <c r="E21" s="28">
        <v>2433</v>
      </c>
      <c r="F21" s="28">
        <v>1481</v>
      </c>
      <c r="G21" s="28">
        <v>1482</v>
      </c>
      <c r="H21" s="28">
        <v>1482</v>
      </c>
      <c r="I21" s="28">
        <v>1482</v>
      </c>
      <c r="K21" s="28">
        <v>1000</v>
      </c>
      <c r="L21" s="28">
        <v>69400</v>
      </c>
      <c r="M21" s="28">
        <v>89300</v>
      </c>
      <c r="N21" s="28">
        <v>62900</v>
      </c>
      <c r="O21" s="28">
        <v>56200</v>
      </c>
      <c r="P21" s="28">
        <v>15600</v>
      </c>
    </row>
    <row r="22" spans="1:16" ht="15" customHeight="1" x14ac:dyDescent="0.25">
      <c r="A22" s="30" t="s">
        <v>92</v>
      </c>
      <c r="B22" s="31">
        <v>3806</v>
      </c>
      <c r="C22" s="31">
        <v>3826</v>
      </c>
      <c r="D22" s="31">
        <v>3830</v>
      </c>
      <c r="E22" s="31">
        <v>3838</v>
      </c>
      <c r="F22" s="31">
        <v>2346</v>
      </c>
      <c r="G22" s="31">
        <v>2350</v>
      </c>
      <c r="H22" s="31">
        <v>2351</v>
      </c>
      <c r="I22" s="31">
        <v>2353</v>
      </c>
      <c r="K22" s="31">
        <v>1200</v>
      </c>
      <c r="L22" s="31">
        <v>94300</v>
      </c>
      <c r="M22" s="31">
        <v>97100</v>
      </c>
      <c r="N22" s="31">
        <v>76900</v>
      </c>
      <c r="O22" s="31">
        <v>69900</v>
      </c>
      <c r="P22" s="31">
        <v>16100</v>
      </c>
    </row>
    <row r="23" spans="1:16" ht="15" customHeight="1" x14ac:dyDescent="0.25">
      <c r="A23" s="27" t="s">
        <v>93</v>
      </c>
      <c r="B23" s="28">
        <v>4774</v>
      </c>
      <c r="C23" s="28">
        <v>4811</v>
      </c>
      <c r="D23" s="28">
        <v>4820</v>
      </c>
      <c r="E23" s="28">
        <v>4833</v>
      </c>
      <c r="F23" s="28">
        <v>2952</v>
      </c>
      <c r="G23" s="28">
        <v>2961</v>
      </c>
      <c r="H23" s="28">
        <v>2963</v>
      </c>
      <c r="I23" s="28">
        <v>2966</v>
      </c>
      <c r="K23" s="28">
        <v>1350</v>
      </c>
      <c r="L23" s="28">
        <v>119000</v>
      </c>
      <c r="M23" s="28">
        <v>104200</v>
      </c>
      <c r="N23" s="28">
        <v>90100</v>
      </c>
      <c r="O23" s="28">
        <v>84000</v>
      </c>
      <c r="P23" s="28">
        <v>17500</v>
      </c>
    </row>
    <row r="24" spans="1:16" ht="15" customHeight="1" x14ac:dyDescent="0.25">
      <c r="A24" s="30" t="s">
        <v>94</v>
      </c>
      <c r="B24" s="31">
        <v>5907</v>
      </c>
      <c r="C24" s="31">
        <v>6044</v>
      </c>
      <c r="D24" s="31">
        <v>5989</v>
      </c>
      <c r="E24" s="31">
        <v>6087</v>
      </c>
      <c r="F24" s="31">
        <v>3713</v>
      </c>
      <c r="G24" s="31">
        <v>3730</v>
      </c>
      <c r="H24" s="31">
        <v>3734</v>
      </c>
      <c r="I24" s="31">
        <v>3740</v>
      </c>
      <c r="K24" s="31">
        <v>1600</v>
      </c>
      <c r="L24" s="31">
        <v>129900</v>
      </c>
      <c r="M24" s="31">
        <v>120500</v>
      </c>
      <c r="N24" s="31">
        <v>101000</v>
      </c>
      <c r="O24" s="31">
        <v>90900</v>
      </c>
      <c r="P24" s="31">
        <v>19200</v>
      </c>
    </row>
    <row r="25" spans="1:16" ht="15" customHeight="1" x14ac:dyDescent="0.25">
      <c r="A25" s="27" t="s">
        <v>110</v>
      </c>
      <c r="B25" s="28">
        <v>7293</v>
      </c>
      <c r="C25" s="28">
        <v>7493</v>
      </c>
      <c r="D25" s="28">
        <v>7454</v>
      </c>
      <c r="E25" s="28">
        <v>7579</v>
      </c>
      <c r="F25" s="28">
        <v>4645</v>
      </c>
      <c r="G25" s="28">
        <v>4678</v>
      </c>
      <c r="H25" s="28">
        <v>4686</v>
      </c>
      <c r="I25" s="28">
        <v>4699</v>
      </c>
      <c r="K25" s="28">
        <v>2000</v>
      </c>
      <c r="L25" s="28">
        <v>142900</v>
      </c>
      <c r="M25" s="28">
        <v>135100</v>
      </c>
      <c r="N25" s="28">
        <v>134200</v>
      </c>
      <c r="O25" s="28">
        <v>125000</v>
      </c>
      <c r="P25" s="28">
        <v>20400</v>
      </c>
    </row>
    <row r="26" spans="1:16" ht="15" customHeight="1" x14ac:dyDescent="0.25">
      <c r="A26" s="30" t="s">
        <v>95</v>
      </c>
      <c r="B26" s="31">
        <v>8925</v>
      </c>
      <c r="C26" s="31">
        <v>9317</v>
      </c>
      <c r="D26" s="31">
        <v>9210</v>
      </c>
      <c r="E26" s="31">
        <v>9473</v>
      </c>
      <c r="F26" s="31">
        <v>5777</v>
      </c>
      <c r="G26" s="31">
        <v>5838</v>
      </c>
      <c r="H26" s="31">
        <v>5852</v>
      </c>
      <c r="I26" s="31">
        <v>5876</v>
      </c>
      <c r="K26" s="31">
        <v>2500</v>
      </c>
      <c r="L26" s="31">
        <v>143800</v>
      </c>
      <c r="M26" s="31">
        <v>156300</v>
      </c>
      <c r="N26" s="31">
        <v>180500</v>
      </c>
      <c r="O26" s="31">
        <v>166700</v>
      </c>
      <c r="P26" s="31">
        <v>21700</v>
      </c>
    </row>
    <row r="27" spans="1:16" ht="15" customHeight="1" x14ac:dyDescent="0.25">
      <c r="A27" s="27" t="s">
        <v>96</v>
      </c>
      <c r="B27" s="28">
        <v>10755</v>
      </c>
      <c r="C27" s="28">
        <v>11424</v>
      </c>
      <c r="D27" s="28">
        <v>11245</v>
      </c>
      <c r="E27" s="28">
        <v>11703</v>
      </c>
      <c r="F27" s="28">
        <v>7187</v>
      </c>
      <c r="G27" s="28">
        <v>7301</v>
      </c>
      <c r="H27" s="28">
        <v>7327</v>
      </c>
      <c r="I27" s="28">
        <v>7373</v>
      </c>
      <c r="K27" s="28">
        <v>3000</v>
      </c>
      <c r="L27" s="28">
        <v>144900</v>
      </c>
      <c r="M27" s="28">
        <v>175400</v>
      </c>
      <c r="N27" s="28">
        <v>204100</v>
      </c>
      <c r="O27" s="28">
        <v>188700</v>
      </c>
      <c r="P27" s="28">
        <v>23800</v>
      </c>
    </row>
    <row r="28" spans="1:16" ht="15" customHeight="1" x14ac:dyDescent="0.25">
      <c r="A28" s="30" t="s">
        <v>97</v>
      </c>
      <c r="B28" s="31">
        <v>12844</v>
      </c>
      <c r="C28" s="31">
        <v>13923</v>
      </c>
      <c r="D28" s="31">
        <v>13656</v>
      </c>
      <c r="E28" s="31">
        <v>14410</v>
      </c>
      <c r="F28" s="31">
        <v>8826</v>
      </c>
      <c r="G28" s="31">
        <v>9110</v>
      </c>
      <c r="H28" s="31">
        <v>9077</v>
      </c>
      <c r="I28" s="31">
        <v>9243</v>
      </c>
      <c r="K28" s="31">
        <v>4000</v>
      </c>
      <c r="L28" s="32" t="s">
        <v>87</v>
      </c>
      <c r="M28" s="32" t="s">
        <v>87</v>
      </c>
      <c r="N28" s="31">
        <v>277800</v>
      </c>
      <c r="O28" s="31">
        <v>256400</v>
      </c>
      <c r="P28" s="32" t="s">
        <v>87</v>
      </c>
    </row>
    <row r="29" spans="1:16" ht="15" customHeight="1" x14ac:dyDescent="0.25">
      <c r="A29" s="27" t="s">
        <v>98</v>
      </c>
      <c r="B29" s="28">
        <v>15082</v>
      </c>
      <c r="C29" s="28">
        <v>16673</v>
      </c>
      <c r="D29" s="28">
        <v>16392</v>
      </c>
      <c r="E29" s="28">
        <v>17483</v>
      </c>
      <c r="F29" s="28">
        <v>10741</v>
      </c>
      <c r="G29" s="28">
        <v>11174</v>
      </c>
      <c r="H29" s="28">
        <v>11185</v>
      </c>
      <c r="I29" s="28">
        <v>11409</v>
      </c>
    </row>
    <row r="30" spans="1:16" ht="15" customHeight="1" x14ac:dyDescent="0.25">
      <c r="A30" s="30" t="s">
        <v>99</v>
      </c>
      <c r="B30" s="31">
        <v>16483</v>
      </c>
      <c r="C30" s="31">
        <v>18594</v>
      </c>
      <c r="D30" s="31">
        <v>18311</v>
      </c>
      <c r="E30" s="31">
        <v>19779</v>
      </c>
      <c r="F30" s="31">
        <v>12122</v>
      </c>
      <c r="G30" s="31">
        <v>12862</v>
      </c>
      <c r="H30" s="31">
        <v>12797</v>
      </c>
      <c r="I30" s="31">
        <v>13236</v>
      </c>
    </row>
    <row r="31" spans="1:16" ht="15" customHeight="1" x14ac:dyDescent="0.25">
      <c r="A31" s="27" t="s">
        <v>100</v>
      </c>
      <c r="B31" s="28">
        <v>18177</v>
      </c>
      <c r="C31" s="28">
        <v>20868</v>
      </c>
      <c r="D31" s="28">
        <v>20617</v>
      </c>
      <c r="E31" s="28">
        <v>22525</v>
      </c>
      <c r="F31" s="28">
        <v>13910</v>
      </c>
      <c r="G31" s="28">
        <v>14923</v>
      </c>
      <c r="H31" s="28">
        <v>14917</v>
      </c>
      <c r="I31" s="28">
        <v>15495</v>
      </c>
      <c r="J31" s="33" t="s">
        <v>27</v>
      </c>
    </row>
    <row r="32" spans="1:16" ht="15" customHeight="1" x14ac:dyDescent="0.25">
      <c r="A32" s="30" t="s">
        <v>101</v>
      </c>
      <c r="B32" s="31">
        <v>19704</v>
      </c>
      <c r="C32" s="31">
        <v>22737</v>
      </c>
      <c r="D32" s="31">
        <v>22646</v>
      </c>
      <c r="E32" s="31">
        <v>24904</v>
      </c>
      <c r="F32" s="31">
        <v>15484</v>
      </c>
      <c r="G32" s="31">
        <v>16813</v>
      </c>
      <c r="H32" s="31">
        <v>16795</v>
      </c>
      <c r="I32" s="31">
        <v>17635</v>
      </c>
      <c r="J32" s="34" t="s">
        <v>102</v>
      </c>
      <c r="K32" s="1"/>
      <c r="L32" s="1"/>
      <c r="M32" s="1"/>
    </row>
    <row r="33" spans="1:13" ht="15" customHeight="1" x14ac:dyDescent="0.25">
      <c r="A33" s="27" t="s">
        <v>103</v>
      </c>
      <c r="B33" s="28">
        <v>20566</v>
      </c>
      <c r="C33" s="28">
        <v>24297</v>
      </c>
      <c r="D33" s="28">
        <v>24253</v>
      </c>
      <c r="E33" s="28">
        <v>26916</v>
      </c>
      <c r="F33" s="28">
        <v>16671</v>
      </c>
      <c r="G33" s="28">
        <v>18506</v>
      </c>
      <c r="H33" s="28">
        <v>18462</v>
      </c>
      <c r="I33" s="28">
        <v>19588</v>
      </c>
      <c r="J33" s="34" t="s">
        <v>104</v>
      </c>
      <c r="K33" s="1"/>
      <c r="L33" s="1"/>
      <c r="M33" s="1"/>
    </row>
    <row r="34" spans="1:13" ht="15" customHeight="1" x14ac:dyDescent="0.25">
      <c r="A34" s="30" t="s">
        <v>66</v>
      </c>
      <c r="B34" s="31">
        <v>22185</v>
      </c>
      <c r="C34" s="31">
        <v>26706</v>
      </c>
      <c r="D34" s="31">
        <v>26980</v>
      </c>
      <c r="E34" s="31">
        <v>30096</v>
      </c>
      <c r="F34" s="31">
        <v>18756</v>
      </c>
      <c r="G34" s="31">
        <v>21391</v>
      </c>
      <c r="H34" s="31">
        <v>21395</v>
      </c>
      <c r="I34" s="31">
        <v>23018</v>
      </c>
      <c r="J34" s="34" t="s">
        <v>105</v>
      </c>
      <c r="K34" s="1"/>
      <c r="L34" s="1"/>
      <c r="M34" s="1"/>
    </row>
    <row r="35" spans="1:13" ht="15" customHeight="1" x14ac:dyDescent="0.25">
      <c r="A35" s="27" t="s">
        <v>106</v>
      </c>
      <c r="B35" s="28">
        <v>22965</v>
      </c>
      <c r="C35" s="28">
        <v>28033</v>
      </c>
      <c r="D35" s="28">
        <v>28752</v>
      </c>
      <c r="E35" s="28">
        <v>32154</v>
      </c>
      <c r="F35" s="28">
        <v>20093</v>
      </c>
      <c r="G35" s="28">
        <v>23451</v>
      </c>
      <c r="H35" s="28">
        <v>23633</v>
      </c>
      <c r="I35" s="28">
        <v>25708</v>
      </c>
      <c r="J35" s="34" t="s">
        <v>107</v>
      </c>
      <c r="K35" s="1"/>
      <c r="L35" s="1"/>
      <c r="M35" s="1"/>
    </row>
    <row r="36" spans="1:13" ht="15" customHeight="1" x14ac:dyDescent="0.25">
      <c r="A36" s="30" t="s">
        <v>69</v>
      </c>
      <c r="B36" s="31">
        <v>24137</v>
      </c>
      <c r="C36" s="31">
        <v>29735</v>
      </c>
      <c r="D36" s="31">
        <v>31051</v>
      </c>
      <c r="E36" s="31">
        <v>34605</v>
      </c>
      <c r="F36" s="31">
        <v>21766</v>
      </c>
      <c r="G36" s="31">
        <v>25976</v>
      </c>
      <c r="H36" s="31">
        <v>26432</v>
      </c>
      <c r="I36" s="31">
        <v>29036</v>
      </c>
      <c r="J36" s="34" t="s">
        <v>108</v>
      </c>
      <c r="K36" s="1"/>
      <c r="L36" s="1"/>
      <c r="M36" s="1"/>
    </row>
    <row r="37" spans="1:13" ht="15" customHeight="1" x14ac:dyDescent="0.25">
      <c r="A37" s="27" t="s">
        <v>109</v>
      </c>
      <c r="B37" s="28">
        <v>25278</v>
      </c>
      <c r="C37" s="28">
        <v>31491</v>
      </c>
      <c r="D37" s="28">
        <v>33864</v>
      </c>
      <c r="E37" s="28">
        <v>37197</v>
      </c>
      <c r="F37" s="28">
        <v>23478</v>
      </c>
      <c r="G37" s="28">
        <v>28779</v>
      </c>
      <c r="H37" s="28">
        <v>29865</v>
      </c>
      <c r="I37" s="28">
        <v>32938</v>
      </c>
    </row>
  </sheetData>
  <mergeCells count="17">
    <mergeCell ref="K36:M36"/>
    <mergeCell ref="O15:P15"/>
    <mergeCell ref="K32:M32"/>
    <mergeCell ref="K33:M33"/>
    <mergeCell ref="K34:M34"/>
    <mergeCell ref="K35:M35"/>
    <mergeCell ref="B15:C15"/>
    <mergeCell ref="D15:E15"/>
    <mergeCell ref="F15:G15"/>
    <mergeCell ref="H15:I15"/>
    <mergeCell ref="M15:N15"/>
    <mergeCell ref="A6:P6"/>
    <mergeCell ref="A7:P7"/>
    <mergeCell ref="A10:P10"/>
    <mergeCell ref="B14:E14"/>
    <mergeCell ref="F14:I14"/>
    <mergeCell ref="K14:P14"/>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8</vt:i4>
      </vt:variant>
    </vt:vector>
  </HeadingPairs>
  <TitlesOfParts>
    <vt:vector size="11" baseType="lpstr">
      <vt:lpstr>Instructions</vt:lpstr>
      <vt:lpstr>Fault Current Calc</vt:lpstr>
      <vt:lpstr>"C" Conductors Values</vt:lpstr>
      <vt:lpstr>Buss_Size</vt:lpstr>
      <vt:lpstr>Buss_Type</vt:lpstr>
      <vt:lpstr>C_Table</vt:lpstr>
      <vt:lpstr>Cable_Type</vt:lpstr>
      <vt:lpstr>Conductor_Compound</vt:lpstr>
      <vt:lpstr>Conductor_Type</vt:lpstr>
      <vt:lpstr>Conduit</vt:lpstr>
      <vt:lpstr>Wire_Size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Hugo Ramiro</cp:lastModifiedBy>
  <cp:revision>0</cp:revision>
  <dcterms:created xsi:type="dcterms:W3CDTF">2026-04-01T03:20:41Z</dcterms:created>
  <dcterms:modified xsi:type="dcterms:W3CDTF">2026-04-12T23:54:23Z</dcterms:modified>
  <dc:language>en-US</dc:language>
</cp:coreProperties>
</file>